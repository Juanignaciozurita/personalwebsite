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S3 Grading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<sst xmlns="http://schemas.openxmlformats.org/spreadsheetml/2006/main" count="94" uniqueCount="54">
  <si>
    <t xml:space="preserve">ECNM10115 — Programming and Numerical Methods for Economics — Problem Set 3 Grading</t>
  </si>
  <si>
    <t xml:space="preserve">Each question is worth 10 marks (total 100). Criteria rated: Excellent / Very Good / Good / Satisfactory.</t>
  </si>
  <si>
    <t xml:space="preserve">Exercise Scores (/10 each)</t>
  </si>
  <si>
    <t xml:space="preserve">Marking Criteria</t>
  </si>
  <si>
    <t xml:space="preserve">Group</t>
  </si>
  <si>
    <t xml:space="preserve">Members</t>
  </si>
  <si>
    <t xml:space="preserve">Q1</t>
  </si>
  <si>
    <t xml:space="preserve">Q2</t>
  </si>
  <si>
    <t xml:space="preserve">Q3</t>
  </si>
  <si>
    <t xml:space="preserve">Q4</t>
  </si>
  <si>
    <t xml:space="preserve">Q5</t>
  </si>
  <si>
    <t xml:space="preserve">Q6</t>
  </si>
  <si>
    <t xml:space="preserve">Q7</t>
  </si>
  <si>
    <t xml:space="preserve">Q8</t>
  </si>
  <si>
    <t xml:space="preserve">Q9</t>
  </si>
  <si>
    <t xml:space="preserve">Q10</t>
  </si>
  <si>
    <t xml:space="preserve">Total
(/100)</t>
  </si>
  <si>
    <t xml:space="preserve">Code
Functionality
&amp; Accuracy</t>
  </si>
  <si>
    <t xml:space="preserve">Code
Structure &amp;
Organization</t>
  </si>
  <si>
    <t xml:space="preserve">Documentation
&amp; Comments</t>
  </si>
  <si>
    <t xml:space="preserve">Creativity &amp;
Problem
Solving</t>
  </si>
  <si>
    <t xml:space="preserve">Adherence to
Guidelines &amp;
Deadlines</t>
  </si>
  <si>
    <t xml:space="preserve">Comments</t>
  </si>
  <si>
    <t xml:space="preserve">Max marks</t>
  </si>
  <si>
    <t xml:space="preserve">—</t>
  </si>
  <si>
    <t xml:space="preserve">Group 1</t>
  </si>
  <si>
    <t xml:space="preserve">Ross, Tom, Will, Mark</t>
  </si>
  <si>
    <t xml:space="preserve">Excellent</t>
  </si>
  <si>
    <t xml:space="preserve">Q4c: uses inequality constraint instead of equality for budget (sum of weights); minor issue, everything else outstanding.</t>
  </si>
  <si>
    <t xml:space="preserve">Group 2</t>
  </si>
  <si>
    <t xml:space="preserve">Tien Nguyen, Christopher White, Finlay Cook</t>
  </si>
  <si>
    <t xml:space="preserve">Very Good</t>
  </si>
  <si>
    <t xml:space="preserve">Q6: N=50 Rosenbrock partial convergence (f≈3.5e-3); did not increase maxfun/maxiter to achieve full convergence.</t>
  </si>
  <si>
    <t xml:space="preserve">Group 3</t>
  </si>
  <si>
    <t xml:space="preserve">Hanna Harull, Hannah Tan, Irfan, Shasmin Alisha</t>
  </si>
  <si>
    <t xml:space="preserve">Outstanding. N=50 Rosenbrock fully converged. Own bisection for PPF. Professional verification sections with assertions. Noted Q9 typo in problem set.</t>
  </si>
  <si>
    <t xml:space="preserve">Group 4</t>
  </si>
  <si>
    <t xml:space="preserve">Yuming Yang, Jiaheng Hu</t>
  </si>
  <si>
    <t xml:space="preserve">Outstanding. Only 2 members. N=50 fully converged. Assertion-based verification throughout. Scaling exponents via polyfit. Brentq for PPF.</t>
  </si>
  <si>
    <t xml:space="preserve">Group 5</t>
  </si>
  <si>
    <t xml:space="preserve">(See notebook)</t>
  </si>
  <si>
    <t xml:space="preserve">Good</t>
  </si>
  <si>
    <t xml:space="preserve">Satisfactory</t>
  </si>
  <si>
    <t xml:space="preserve">Q2c: s_grid dimension mismatch in plot (-1). Q4b: prints wrong std dev (-0.5). Q5d: missing fiscal multiplier plot (-1). Q8a: missing analytical Lagrangian derivation (-2). Q10d: references undefined variable Y1_eq (-1).</t>
  </si>
  <si>
    <t xml:space="preserve">Group 6</t>
  </si>
  <si>
    <t xml:space="preserve">Guanrong Wang, Lucy Zhang, Tianyi Xu</t>
  </si>
  <si>
    <t xml:space="preserve">Q6: N=50 Rosenbrock partial convergence (f≈8.3e-4, max error=0.033); did not increase maxfun. Otherwise strong submission.</t>
  </si>
  <si>
    <t xml:space="preserve">Group 7</t>
  </si>
  <si>
    <t xml:space="preserve">Bennett Tung, Louis Ripper, Noah Steiner</t>
  </si>
  <si>
    <t xml:space="preserve">Q6: N=50 Rosenbrock did not converge (-1.5); diagnosed the issue (default iteration limit) but did not fix it. Most thorough code commenting of all groups.</t>
  </si>
  <si>
    <t xml:space="preserve">Group 8</t>
  </si>
  <si>
    <t xml:space="preserve">Ayush Gowda, Bhavishy Poddar</t>
  </si>
  <si>
    <t xml:space="preserve">Outstanding. Only 2 members. Professional helper functions (md_table, save_and_show). Cross-checked derivatives numerically. Zero errors throughout.</t>
  </si>
  <si>
    <t xml:space="preserve">Class Average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</si>
</sst>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2F5496"/>
      <name val="Arial"/>
      <family val="0"/>
      <charset val="1"/>
    </font>
    <font>
      <i val="true"/>
      <sz val="9"/>
      <color rgb="FF40404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sz val="9"/>
      <name val="Arial"/>
      <family val="0"/>
      <charset val="1"/>
    </font>
    <font>
      <i val="true"/>
      <sz val="8"/>
      <name val="Arial"/>
      <family val="0"/>
      <charset val="1"/>
    </font>
    <font>
      <b val="true"/>
      <sz val="10"/>
      <color rgb="FF2F5496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404040"/>
      </patternFill>
    </fill>
    <fill>
      <patternFill patternType="solid">
        <fgColor rgb="FF2F5496"/>
        <bgColor rgb="FF1F3864"/>
      </patternFill>
    </fill>
    <fill>
      <patternFill patternType="solid">
        <fgColor rgb="FFD6E4F0"/>
        <bgColor rgb="FFE2EFDA"/>
      </patternFill>
    </fill>
    <fill>
      <patternFill patternType="solid">
        <fgColor rgb="FFFFEB9C"/>
        <bgColor rgb="FFFFCC99"/>
      </patternFill>
    </fill>
    <fill>
      <patternFill patternType="solid">
        <fgColor rgb="FFE2EFDA"/>
        <bgColor rgb="FFF2F2F2"/>
      </patternFill>
    </fill>
    <fill>
      <patternFill patternType="solid">
        <fgColor rgb="FFC6EFCE"/>
        <bgColor rgb="FFE2EFDA"/>
      </patternFill>
    </fill>
    <fill>
      <patternFill patternType="solid">
        <fgColor rgb="FFF2F2F2"/>
        <bgColor rgb="FFE2EFD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2EFDA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F5496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S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2"/>
    <col collapsed="false" customWidth="true" hidden="false" outlineLevel="0" max="12" min="3" style="0" width="7"/>
    <col collapsed="false" customWidth="true" hidden="false" outlineLevel="0" max="13" min="13" style="0" width="10"/>
    <col collapsed="false" customWidth="true" hidden="false" outlineLevel="0" max="18" min="14" style="0" width="16"/>
    <col collapsed="false" customWidth="true" hidden="false" outlineLevel="0" max="19" min="19" style="0" width="55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customFormat="false" ht="21.75" hidden="false" customHeight="true" outlineLevel="0" collapsed="false">
      <c r="A3" s="3"/>
      <c r="B3" s="3"/>
      <c r="C3" s="4" t="s">
        <v>2</v>
      </c>
      <c r="D3" s="4"/>
      <c r="E3" s="4"/>
      <c r="F3" s="4"/>
      <c r="G3" s="4"/>
      <c r="H3" s="4"/>
      <c r="I3" s="4"/>
      <c r="J3" s="4"/>
      <c r="K3" s="4"/>
      <c r="L3" s="4"/>
      <c r="M3" s="3"/>
      <c r="N3" s="4" t="s">
        <v>3</v>
      </c>
      <c r="O3" s="4"/>
      <c r="P3" s="4"/>
      <c r="Q3" s="4"/>
      <c r="R3" s="4"/>
      <c r="S3" s="3"/>
    </row>
    <row r="4" customFormat="false" ht="48" hidden="false" customHeight="true" outlineLevel="0" collapsed="false">
      <c r="A4" s="5" t="s">
        <v>4</v>
      </c>
      <c r="B4" s="5" t="s">
        <v>5</v>
      </c>
      <c r="C4" s="5" t="s">
        <v>6</v>
      </c>
      <c r="D4" s="5" t="s">
        <v>7</v>
      </c>
      <c r="E4" s="5" t="s">
        <v>8</v>
      </c>
      <c r="F4" s="5" t="s">
        <v>9</v>
      </c>
      <c r="G4" s="5" t="s">
        <v>10</v>
      </c>
      <c r="H4" s="5" t="s">
        <v>11</v>
      </c>
      <c r="I4" s="5" t="s">
        <v>12</v>
      </c>
      <c r="J4" s="5" t="s">
        <v>13</v>
      </c>
      <c r="K4" s="5" t="s">
        <v>14</v>
      </c>
      <c r="L4" s="5" t="s">
        <v>15</v>
      </c>
      <c r="M4" s="5" t="s">
        <v>16</v>
      </c>
      <c r="N4" s="5" t="s">
        <v>17</v>
      </c>
      <c r="O4" s="5" t="s">
        <v>18</v>
      </c>
      <c r="P4" s="5" t="s">
        <v>19</v>
      </c>
      <c r="Q4" s="5" t="s">
        <v>20</v>
      </c>
      <c r="R4" s="5" t="s">
        <v>21</v>
      </c>
      <c r="S4" s="5" t="s">
        <v>22</v>
      </c>
    </row>
    <row r="5" customFormat="false" ht="19.5" hidden="false" customHeight="true" outlineLevel="0" collapsed="false">
      <c r="A5" s="6" t="s">
        <v>23</v>
      </c>
      <c r="B5" s="7"/>
      <c r="C5" s="6" t="n">
        <v>10</v>
      </c>
      <c r="D5" s="6" t="n">
        <v>10</v>
      </c>
      <c r="E5" s="6" t="n">
        <v>10</v>
      </c>
      <c r="F5" s="6" t="n">
        <v>10</v>
      </c>
      <c r="G5" s="6" t="n">
        <v>10</v>
      </c>
      <c r="H5" s="6" t="n">
        <v>10</v>
      </c>
      <c r="I5" s="6" t="n">
        <v>10</v>
      </c>
      <c r="J5" s="6" t="n">
        <v>10</v>
      </c>
      <c r="K5" s="6" t="n">
        <v>10</v>
      </c>
      <c r="L5" s="6" t="n">
        <v>10</v>
      </c>
      <c r="M5" s="8" t="n">
        <v>100</v>
      </c>
      <c r="N5" s="6" t="s">
        <v>24</v>
      </c>
      <c r="O5" s="6" t="s">
        <v>24</v>
      </c>
      <c r="P5" s="6" t="s">
        <v>24</v>
      </c>
      <c r="Q5" s="6" t="s">
        <v>24</v>
      </c>
      <c r="R5" s="6" t="s">
        <v>24</v>
      </c>
      <c r="S5" s="7"/>
    </row>
    <row r="6" customFormat="false" ht="51.75" hidden="false" customHeight="true" outlineLevel="0" collapsed="false">
      <c r="A6" s="9" t="s">
        <v>25</v>
      </c>
      <c r="B6" s="10" t="s">
        <v>26</v>
      </c>
      <c r="C6" s="11" t="n">
        <v>10</v>
      </c>
      <c r="D6" s="11" t="n">
        <v>10</v>
      </c>
      <c r="E6" s="11" t="n">
        <v>10</v>
      </c>
      <c r="F6" s="12" t="n">
        <v>9.5</v>
      </c>
      <c r="G6" s="11" t="n">
        <v>10</v>
      </c>
      <c r="H6" s="11" t="n">
        <v>10</v>
      </c>
      <c r="I6" s="11" t="n">
        <v>10</v>
      </c>
      <c r="J6" s="11" t="n">
        <v>10</v>
      </c>
      <c r="K6" s="11" t="n">
        <v>10</v>
      </c>
      <c r="L6" s="11" t="n">
        <v>10</v>
      </c>
      <c r="M6" s="13" t="n">
        <f aca="false">SUM(C6:L6)</f>
        <v>99.5</v>
      </c>
      <c r="N6" s="14" t="s">
        <v>27</v>
      </c>
      <c r="O6" s="14" t="s">
        <v>27</v>
      </c>
      <c r="P6" s="14" t="s">
        <v>27</v>
      </c>
      <c r="Q6" s="14" t="s">
        <v>27</v>
      </c>
      <c r="R6" s="14" t="s">
        <v>27</v>
      </c>
      <c r="S6" s="15" t="s">
        <v>28</v>
      </c>
    </row>
    <row r="7" customFormat="false" ht="51.75" hidden="false" customHeight="true" outlineLevel="0" collapsed="false">
      <c r="A7" s="16" t="s">
        <v>29</v>
      </c>
      <c r="B7" s="17" t="s">
        <v>30</v>
      </c>
      <c r="C7" s="18" t="n">
        <v>10</v>
      </c>
      <c r="D7" s="18" t="n">
        <v>10</v>
      </c>
      <c r="E7" s="18" t="n">
        <v>10</v>
      </c>
      <c r="F7" s="18" t="n">
        <v>10</v>
      </c>
      <c r="G7" s="18" t="n">
        <v>10</v>
      </c>
      <c r="H7" s="12" t="n">
        <v>9</v>
      </c>
      <c r="I7" s="18" t="n">
        <v>10</v>
      </c>
      <c r="J7" s="18" t="n">
        <v>10</v>
      </c>
      <c r="K7" s="18" t="n">
        <v>10</v>
      </c>
      <c r="L7" s="18" t="n">
        <v>10</v>
      </c>
      <c r="M7" s="13" t="n">
        <f aca="false">SUM(C7:L7)</f>
        <v>99</v>
      </c>
      <c r="N7" s="14" t="s">
        <v>27</v>
      </c>
      <c r="O7" s="14" t="s">
        <v>27</v>
      </c>
      <c r="P7" s="14" t="s">
        <v>27</v>
      </c>
      <c r="Q7" s="19" t="s">
        <v>31</v>
      </c>
      <c r="R7" s="14" t="s">
        <v>27</v>
      </c>
      <c r="S7" s="20" t="s">
        <v>32</v>
      </c>
    </row>
    <row r="8" customFormat="false" ht="51.75" hidden="false" customHeight="true" outlineLevel="0" collapsed="false">
      <c r="A8" s="9" t="s">
        <v>33</v>
      </c>
      <c r="B8" s="10" t="s">
        <v>34</v>
      </c>
      <c r="C8" s="11" t="n">
        <v>10</v>
      </c>
      <c r="D8" s="11" t="n">
        <v>10</v>
      </c>
      <c r="E8" s="11" t="n">
        <v>10</v>
      </c>
      <c r="F8" s="11" t="n">
        <v>10</v>
      </c>
      <c r="G8" s="11" t="n">
        <v>10</v>
      </c>
      <c r="H8" s="11" t="n">
        <v>10</v>
      </c>
      <c r="I8" s="11" t="n">
        <v>10</v>
      </c>
      <c r="J8" s="11" t="n">
        <v>10</v>
      </c>
      <c r="K8" s="11" t="n">
        <v>10</v>
      </c>
      <c r="L8" s="11" t="n">
        <v>10</v>
      </c>
      <c r="M8" s="13" t="n">
        <f aca="false">SUM(C8:L8)</f>
        <v>100</v>
      </c>
      <c r="N8" s="14" t="s">
        <v>27</v>
      </c>
      <c r="O8" s="14" t="s">
        <v>27</v>
      </c>
      <c r="P8" s="14" t="s">
        <v>27</v>
      </c>
      <c r="Q8" s="14" t="s">
        <v>27</v>
      </c>
      <c r="R8" s="14" t="s">
        <v>27</v>
      </c>
      <c r="S8" s="15" t="s">
        <v>35</v>
      </c>
    </row>
    <row r="9" customFormat="false" ht="51.75" hidden="false" customHeight="true" outlineLevel="0" collapsed="false">
      <c r="A9" s="16" t="s">
        <v>36</v>
      </c>
      <c r="B9" s="17" t="s">
        <v>37</v>
      </c>
      <c r="C9" s="18" t="n">
        <v>10</v>
      </c>
      <c r="D9" s="18" t="n">
        <v>10</v>
      </c>
      <c r="E9" s="18" t="n">
        <v>10</v>
      </c>
      <c r="F9" s="18" t="n">
        <v>10</v>
      </c>
      <c r="G9" s="18" t="n">
        <v>10</v>
      </c>
      <c r="H9" s="18" t="n">
        <v>10</v>
      </c>
      <c r="I9" s="18" t="n">
        <v>10</v>
      </c>
      <c r="J9" s="18" t="n">
        <v>10</v>
      </c>
      <c r="K9" s="18" t="n">
        <v>10</v>
      </c>
      <c r="L9" s="18" t="n">
        <v>10</v>
      </c>
      <c r="M9" s="13" t="n">
        <f aca="false">SUM(C9:L9)</f>
        <v>100</v>
      </c>
      <c r="N9" s="14" t="s">
        <v>27</v>
      </c>
      <c r="O9" s="14" t="s">
        <v>27</v>
      </c>
      <c r="P9" s="14" t="s">
        <v>27</v>
      </c>
      <c r="Q9" s="14" t="s">
        <v>27</v>
      </c>
      <c r="R9" s="14" t="s">
        <v>27</v>
      </c>
      <c r="S9" s="20" t="s">
        <v>38</v>
      </c>
    </row>
    <row r="10" customFormat="false" ht="51.75" hidden="false" customHeight="true" outlineLevel="0" collapsed="false">
      <c r="A10" s="9" t="s">
        <v>39</v>
      </c>
      <c r="B10" s="10" t="s">
        <v>40</v>
      </c>
      <c r="C10" s="11" t="n">
        <v>10</v>
      </c>
      <c r="D10" s="12" t="n">
        <v>9</v>
      </c>
      <c r="E10" s="11" t="n">
        <v>10</v>
      </c>
      <c r="F10" s="12" t="n">
        <v>9.5</v>
      </c>
      <c r="G10" s="12" t="n">
        <v>9</v>
      </c>
      <c r="H10" s="11" t="n">
        <v>10</v>
      </c>
      <c r="I10" s="11" t="n">
        <v>10</v>
      </c>
      <c r="J10" s="12" t="n">
        <v>8</v>
      </c>
      <c r="K10" s="11" t="n">
        <v>10</v>
      </c>
      <c r="L10" s="12" t="n">
        <v>9</v>
      </c>
      <c r="M10" s="13" t="n">
        <f aca="false">SUM(C10:L10)</f>
        <v>94.5</v>
      </c>
      <c r="N10" s="21" t="s">
        <v>41</v>
      </c>
      <c r="O10" s="21" t="s">
        <v>41</v>
      </c>
      <c r="P10" s="21" t="s">
        <v>42</v>
      </c>
      <c r="Q10" s="21" t="s">
        <v>42</v>
      </c>
      <c r="R10" s="14" t="s">
        <v>27</v>
      </c>
      <c r="S10" s="15" t="s">
        <v>43</v>
      </c>
    </row>
    <row r="11" customFormat="false" ht="51.75" hidden="false" customHeight="true" outlineLevel="0" collapsed="false">
      <c r="A11" s="16" t="s">
        <v>44</v>
      </c>
      <c r="B11" s="17" t="s">
        <v>45</v>
      </c>
      <c r="C11" s="18" t="n">
        <v>10</v>
      </c>
      <c r="D11" s="18" t="n">
        <v>10</v>
      </c>
      <c r="E11" s="18" t="n">
        <v>10</v>
      </c>
      <c r="F11" s="18" t="n">
        <v>10</v>
      </c>
      <c r="G11" s="18" t="n">
        <v>10</v>
      </c>
      <c r="H11" s="12" t="n">
        <v>9</v>
      </c>
      <c r="I11" s="18" t="n">
        <v>10</v>
      </c>
      <c r="J11" s="18" t="n">
        <v>10</v>
      </c>
      <c r="K11" s="18" t="n">
        <v>10</v>
      </c>
      <c r="L11" s="18" t="n">
        <v>10</v>
      </c>
      <c r="M11" s="13" t="n">
        <f aca="false">SUM(C11:L11)</f>
        <v>99</v>
      </c>
      <c r="N11" s="14" t="s">
        <v>27</v>
      </c>
      <c r="O11" s="14" t="s">
        <v>27</v>
      </c>
      <c r="P11" s="14" t="s">
        <v>27</v>
      </c>
      <c r="Q11" s="19" t="s">
        <v>31</v>
      </c>
      <c r="R11" s="14" t="s">
        <v>27</v>
      </c>
      <c r="S11" s="20" t="s">
        <v>46</v>
      </c>
    </row>
    <row r="12" customFormat="false" ht="51.75" hidden="false" customHeight="true" outlineLevel="0" collapsed="false">
      <c r="A12" s="9" t="s">
        <v>47</v>
      </c>
      <c r="B12" s="10" t="s">
        <v>48</v>
      </c>
      <c r="C12" s="11" t="n">
        <v>10</v>
      </c>
      <c r="D12" s="11" t="n">
        <v>10</v>
      </c>
      <c r="E12" s="11" t="n">
        <v>10</v>
      </c>
      <c r="F12" s="11" t="n">
        <v>10</v>
      </c>
      <c r="G12" s="11" t="n">
        <v>10</v>
      </c>
      <c r="H12" s="12" t="n">
        <v>8.5</v>
      </c>
      <c r="I12" s="11" t="n">
        <v>10</v>
      </c>
      <c r="J12" s="11" t="n">
        <v>10</v>
      </c>
      <c r="K12" s="11" t="n">
        <v>10</v>
      </c>
      <c r="L12" s="11" t="n">
        <v>10</v>
      </c>
      <c r="M12" s="13" t="n">
        <f aca="false">SUM(C12:L12)</f>
        <v>98.5</v>
      </c>
      <c r="N12" s="14" t="s">
        <v>27</v>
      </c>
      <c r="O12" s="14" t="s">
        <v>27</v>
      </c>
      <c r="P12" s="14" t="s">
        <v>27</v>
      </c>
      <c r="Q12" s="14" t="s">
        <v>27</v>
      </c>
      <c r="R12" s="14" t="s">
        <v>27</v>
      </c>
      <c r="S12" s="15" t="s">
        <v>49</v>
      </c>
    </row>
    <row r="13" customFormat="false" ht="51.75" hidden="false" customHeight="true" outlineLevel="0" collapsed="false">
      <c r="A13" s="16" t="s">
        <v>50</v>
      </c>
      <c r="B13" s="17" t="s">
        <v>51</v>
      </c>
      <c r="C13" s="18" t="n">
        <v>10</v>
      </c>
      <c r="D13" s="18" t="n">
        <v>10</v>
      </c>
      <c r="E13" s="18" t="n">
        <v>10</v>
      </c>
      <c r="F13" s="18" t="n">
        <v>10</v>
      </c>
      <c r="G13" s="18" t="n">
        <v>10</v>
      </c>
      <c r="H13" s="18" t="n">
        <v>10</v>
      </c>
      <c r="I13" s="18" t="n">
        <v>10</v>
      </c>
      <c r="J13" s="18" t="n">
        <v>10</v>
      </c>
      <c r="K13" s="18" t="n">
        <v>10</v>
      </c>
      <c r="L13" s="18" t="n">
        <v>10</v>
      </c>
      <c r="M13" s="13" t="n">
        <f aca="false">SUM(C13:L13)</f>
        <v>100</v>
      </c>
      <c r="N13" s="14" t="s">
        <v>27</v>
      </c>
      <c r="O13" s="14" t="s">
        <v>27</v>
      </c>
      <c r="P13" s="14" t="s">
        <v>27</v>
      </c>
      <c r="Q13" s="14" t="s">
        <v>27</v>
      </c>
      <c r="R13" s="14" t="s">
        <v>27</v>
      </c>
      <c r="S13" s="20" t="s">
        <v>52</v>
      </c>
    </row>
    <row r="14" customFormat="false" ht="21.75" hidden="false" customHeight="true" outlineLevel="0" collapsed="false">
      <c r="A14" s="22" t="s">
        <v>53</v>
      </c>
      <c r="B14" s="23"/>
      <c r="C14" s="24" t="n">
        <f aca="false">AVERAGE(C6:C13)</f>
        <v>10</v>
      </c>
      <c r="D14" s="24" t="n">
        <f aca="false">AVERAGE(D6:D13)</f>
        <v>9.875</v>
      </c>
      <c r="E14" s="24" t="n">
        <f aca="false">AVERAGE(E6:E13)</f>
        <v>10</v>
      </c>
      <c r="F14" s="24" t="n">
        <f aca="false">AVERAGE(F6:F13)</f>
        <v>9.875</v>
      </c>
      <c r="G14" s="24" t="n">
        <f aca="false">AVERAGE(G6:G13)</f>
        <v>9.875</v>
      </c>
      <c r="H14" s="24" t="n">
        <f aca="false">AVERAGE(H6:H13)</f>
        <v>9.5625</v>
      </c>
      <c r="I14" s="24" t="n">
        <f aca="false">AVERAGE(I6:I13)</f>
        <v>10</v>
      </c>
      <c r="J14" s="24" t="n">
        <f aca="false">AVERAGE(J6:J13)</f>
        <v>9.75</v>
      </c>
      <c r="K14" s="24" t="n">
        <f aca="false">AVERAGE(K6:K13)</f>
        <v>10</v>
      </c>
      <c r="L14" s="24" t="n">
        <f aca="false">AVERAGE(L6:L13)</f>
        <v>9.875</v>
      </c>
      <c r="M14" s="24" t="n">
        <f aca="false">AVERAGE(M6:M13)</f>
        <v>98.8125</v>
      </c>
      <c r="N14" s="23"/>
      <c r="O14" s="23"/>
      <c r="P14" s="23"/>
      <c r="Q14" s="23"/>
      <c r="R14" s="23"/>
      <c r="S14" s="23"/>
    </row>
  </sheetData>
  <mergeCells count="4">
    <mergeCell ref="A1:S1"/>
    <mergeCell ref="A2:S2"/>
    <mergeCell ref="C3:L3"/>
    <mergeCell ref="N3:R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2026-10-26T10:27:00Z</dcterms:created>
  <dc:creator>openpyxl</dc:creator>
  <dc:description/>
  <dc:language>en-US</dc:language>
  <cp:lastModifiedBy/>
  <dcterms:modified xsi:type="dcterms:W3CDTF">2026-10-26T10:27:00Z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